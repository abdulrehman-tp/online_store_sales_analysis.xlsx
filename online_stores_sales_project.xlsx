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ece3cb602db9a65/Desktop/PW Data anylists/excel/excel project/"/>
    </mc:Choice>
  </mc:AlternateContent>
  <xr:revisionPtr revIDLastSave="254" documentId="8_{4C11CA16-59EE-46E6-910E-C11EAD06B531}" xr6:coauthVersionLast="47" xr6:coauthVersionMax="47" xr10:uidLastSave="{31D677DD-2AAA-40E3-917D-3408533BF435}"/>
  <bookViews>
    <workbookView xWindow="-108" yWindow="-108" windowWidth="23256" windowHeight="12456" firstSheet="1" activeTab="3" xr2:uid="{00000000-000D-0000-FFFF-FFFF00000000}"/>
  </bookViews>
  <sheets>
    <sheet name="Bar chart → City vs Profit" sheetId="9" r:id="rId1"/>
    <sheet name="Data Analyst Thinking Question" sheetId="12" r:id="rId2"/>
    <sheet name="Online Store Data" sheetId="1" r:id="rId3"/>
    <sheet name="Analysis aggregate function" sheetId="16" r:id="rId4"/>
  </sheets>
  <calcPr calcId="191029"/>
  <pivotCaches>
    <pivotCache cacheId="0" r:id="rId5"/>
    <pivotCache cacheId="2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6" l="1"/>
  <c r="B7" i="16"/>
  <c r="I5" i="9"/>
  <c r="I4" i="9"/>
  <c r="I3" i="9"/>
  <c r="K2" i="1"/>
  <c r="B6" i="16"/>
  <c r="B5" i="16"/>
  <c r="B3" i="16"/>
  <c r="B2" i="16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2" i="1"/>
</calcChain>
</file>

<file path=xl/sharedStrings.xml><?xml version="1.0" encoding="utf-8"?>
<sst xmlns="http://schemas.openxmlformats.org/spreadsheetml/2006/main" count="157" uniqueCount="79">
  <si>
    <t>Order ID</t>
  </si>
  <si>
    <t>Date</t>
  </si>
  <si>
    <t>Customer</t>
  </si>
  <si>
    <t>City</t>
  </si>
  <si>
    <t>Category</t>
  </si>
  <si>
    <t>Product</t>
  </si>
  <si>
    <t>Sales</t>
  </si>
  <si>
    <t>Quantity</t>
  </si>
  <si>
    <t>Discount</t>
  </si>
  <si>
    <t>Profit</t>
  </si>
  <si>
    <t>01-03-2026</t>
  </si>
  <si>
    <t>Aakash</t>
  </si>
  <si>
    <t>Delhi</t>
  </si>
  <si>
    <t>Electronics</t>
  </si>
  <si>
    <t>Mobile</t>
  </si>
  <si>
    <t>02-03-2026</t>
  </si>
  <si>
    <t>Neha</t>
  </si>
  <si>
    <t>Mumbai</t>
  </si>
  <si>
    <t>Clothing</t>
  </si>
  <si>
    <t>T-shirt</t>
  </si>
  <si>
    <t>03-03-2026</t>
  </si>
  <si>
    <t>Rahul</t>
  </si>
  <si>
    <t>Bangalore</t>
  </si>
  <si>
    <t>Laptop</t>
  </si>
  <si>
    <t>04-03-2026</t>
  </si>
  <si>
    <t>Priya</t>
  </si>
  <si>
    <t>Furniture</t>
  </si>
  <si>
    <t>Chair</t>
  </si>
  <si>
    <t>05-03-2026</t>
  </si>
  <si>
    <t>Karan</t>
  </si>
  <si>
    <t>Jeans</t>
  </si>
  <si>
    <t>06-03-2026</t>
  </si>
  <si>
    <t>Simran</t>
  </si>
  <si>
    <t>Headphones</t>
  </si>
  <si>
    <t>07-03-2026</t>
  </si>
  <si>
    <t>Arjun</t>
  </si>
  <si>
    <t>Table</t>
  </si>
  <si>
    <t>08-03-2026</t>
  </si>
  <si>
    <t>Riya</t>
  </si>
  <si>
    <t>Tablet</t>
  </si>
  <si>
    <t>09-03-2026</t>
  </si>
  <si>
    <t>Vikas</t>
  </si>
  <si>
    <t>Jacket</t>
  </si>
  <si>
    <t>10-03-2026</t>
  </si>
  <si>
    <t>Pooja</t>
  </si>
  <si>
    <t>Smartwatch</t>
  </si>
  <si>
    <t>11-03-2026</t>
  </si>
  <si>
    <t>Manish</t>
  </si>
  <si>
    <t>Sofa</t>
  </si>
  <si>
    <t>12-03-2026</t>
  </si>
  <si>
    <t>Sneha</t>
  </si>
  <si>
    <t>Dress</t>
  </si>
  <si>
    <t>Total sales</t>
  </si>
  <si>
    <t>Avg discount</t>
  </si>
  <si>
    <t xml:space="preserve">Total Quantity sold </t>
  </si>
  <si>
    <t>Max sales value</t>
  </si>
  <si>
    <t>Min sales value</t>
  </si>
  <si>
    <t>Profit_Type</t>
  </si>
  <si>
    <t>Row Labels</t>
  </si>
  <si>
    <t>Grand Total</t>
  </si>
  <si>
    <t>Sum of Sales</t>
  </si>
  <si>
    <t>Sum of Profit</t>
  </si>
  <si>
    <t>Sum of Quantity</t>
  </si>
  <si>
    <t>Which category performs best?</t>
  </si>
  <si>
    <t>Ques -&gt;</t>
  </si>
  <si>
    <t>Answer -&gt;</t>
  </si>
  <si>
    <t xml:space="preserve">Electronics because sales and  Profit both high </t>
  </si>
  <si>
    <t xml:space="preserve">Answer -&gt; </t>
  </si>
  <si>
    <t>Which city has highest sales?</t>
  </si>
  <si>
    <t>Asnwer -&gt;</t>
  </si>
  <si>
    <t>Does high discount reduce profit?</t>
  </si>
  <si>
    <t>yes</t>
  </si>
  <si>
    <t>Which product sells most quantity?</t>
  </si>
  <si>
    <t>Average of Discount</t>
  </si>
  <si>
    <t>Analysis</t>
  </si>
  <si>
    <t>Total profit</t>
  </si>
  <si>
    <t>Dashboard Summary</t>
  </si>
  <si>
    <t>KPIs</t>
  </si>
  <si>
    <t xml:space="preserve">Total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</si>
</sst>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9" fontId="0" fillId="0" borderId="1" xfId="1" applyFont="1" applyBorder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 applyNumberFormat="1"/>
    <xf numFmtId="0" fontId="0" fillId="0" borderId="2" xfId="0" applyBorder="1"/>
    <xf numFmtId="9" fontId="0" fillId="0" borderId="2" xfId="1" applyFont="1" applyBorder="1"/>
    <xf numFmtId="0" fontId="0" fillId="0" borderId="0" xfId="0" applyBorder="1"/>
    <xf numFmtId="9" fontId="0" fillId="0" borderId="0" xfId="1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9" fontId="0" fillId="2" borderId="7" xfId="1" applyFont="1" applyFill="1" applyBorder="1"/>
    <xf numFmtId="0" fontId="0" fillId="2" borderId="8" xfId="0" applyFill="1" applyBorder="1"/>
    <xf numFmtId="0" fontId="0" fillId="0" borderId="9" xfId="0" applyBorder="1"/>
    <xf numFmtId="0" fontId="0" fillId="4" borderId="1" xfId="0" applyFill="1" applyBorder="1"/>
    <xf numFmtId="9" fontId="0" fillId="4" borderId="1" xfId="0" applyNumberFormat="1" applyFill="1" applyBorder="1"/>
    <xf numFmtId="0" fontId="0" fillId="5" borderId="1" xfId="0" applyFill="1" applyBorder="1"/>
    <xf numFmtId="0" fontId="0" fillId="6" borderId="1" xfId="0" applyFill="1" applyBorder="1"/>
    <xf numFmtId="9" fontId="0" fillId="6" borderId="1" xfId="0" applyNumberFormat="1" applyFill="1" applyBorder="1"/>
    <xf numFmtId="0" fontId="0" fillId="3" borderId="1" xfId="0" applyFill="1" applyBorder="1"/>
  </cellXfs>
  <cellStyles count="2">
    <cellStyle name="Normal" xfId="0" builtinId="0"/>
    <cellStyle name="Percent" xfId="1" builtinId="5"/>
  </cellStyles>
  <dxfs count="15">
    <dxf>
      <fill>
        <patternFill patternType="solid">
          <fgColor indexed="64"/>
          <bgColor theme="3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[online_store_sales_project.xlsx]Bar chart → City vs Profit!PivotTable5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City vs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524143099859957"/>
          <c:y val="0.25574354192568033"/>
          <c:w val="0.67093093738709286"/>
          <c:h val="0.5504700234839066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'Bar chart → City vs Profit'!$B$9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 → City vs Profit'!$A$10:$A$13</c:f>
              <c:strCache>
                <c:ptCount val="3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</c:strCache>
            </c:strRef>
          </c:cat>
          <c:val>
            <c:numRef>
              <c:f>'Bar chart → City vs Profit'!$B$10:$B$13</c:f>
              <c:numCache>
                <c:formatCode>General</c:formatCode>
                <c:ptCount val="3"/>
                <c:pt idx="0">
                  <c:v>63290</c:v>
                </c:pt>
                <c:pt idx="1">
                  <c:v>39400</c:v>
                </c:pt>
                <c:pt idx="2">
                  <c:v>31330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B-4470-A7D9-32830CA02C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478109631"/>
        <c:axId val="1478101471"/>
      </c:barChart>
      <c:catAx>
        <c:axId val="14781096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101471"/>
        <c:crosses val="autoZero"/>
        <c:auto val="1"/>
        <c:lblAlgn val="ctr"/>
        <c:lblOffset val="100"/>
        <c:noMultiLvlLbl val="0"/>
      </c:catAx>
      <c:valAx>
        <c:axId val="1478101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10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 vs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744975085714967"/>
          <c:y val="0.23687981177266534"/>
          <c:w val="0.6066536847386419"/>
          <c:h val="0.59747650933736851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Clothing</c:v>
              </c:pt>
              <c:pt idx="1">
                <c:v>Electronics</c:v>
              </c:pt>
              <c:pt idx="2">
                <c:v>Furniture</c:v>
              </c:pt>
            </c:strLit>
          </c:cat>
          <c:val>
            <c:numLit>
              <c:formatCode>General</c:formatCode>
              <c:ptCount val="3"/>
              <c:pt idx="0">
                <c:v>8800</c:v>
              </c:pt>
              <c:pt idx="1">
                <c:v>110000</c:v>
              </c:pt>
              <c:pt idx="2">
                <c:v>29000</c:v>
              </c:pt>
            </c:numLit>
          </c:val>
          <c:extLst>
            <c:ext xmlns:c16="http://schemas.microsoft.com/office/drawing/2014/chart" uri="{C3380CC4-5D6E-409C-BE32-E72D297353CC}">
              <c16:uniqueId val="{00000000-EC71-4B13-934E-3D9DC3EDC29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0000431"/>
        <c:axId val="70001391"/>
      </c:barChart>
      <c:catAx>
        <c:axId val="700004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01391"/>
        <c:crosses val="autoZero"/>
        <c:auto val="1"/>
        <c:lblAlgn val="ctr"/>
        <c:lblOffset val="100"/>
        <c:noMultiLvlLbl val="0"/>
      </c:catAx>
      <c:valAx>
        <c:axId val="700013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0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7</xdr:row>
      <xdr:rowOff>0</xdr:rowOff>
    </xdr:from>
    <xdr:to>
      <xdr:col>13</xdr:col>
      <xdr:colOff>47625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7110DF-0B86-4BB9-2B17-35D2B581F1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588644</xdr:colOff>
      <xdr:row>25</xdr:row>
      <xdr:rowOff>152400</xdr:rowOff>
    </xdr:from>
    <xdr:to>
      <xdr:col>13</xdr:col>
      <xdr:colOff>76199</xdr:colOff>
      <xdr:row>44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9396F3-283A-9462-8C9C-EA7222564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hnawaz idreeshi" refreshedDate="46117.777096296297" createdVersion="8" refreshedVersion="8" minRefreshableVersion="3" recordCount="12" xr:uid="{B040BBB3-9E5E-4857-B519-99CA4BAB0BE2}">
  <cacheSource type="worksheet">
    <worksheetSource ref="A1:K13" sheet="Online Store Data"/>
  </cacheSource>
  <cacheFields count="11">
    <cacheField name="Order ID" numFmtId="0">
      <sharedItems containsSemiMixedTypes="0" containsString="0" containsNumber="1" containsInteger="1" minValue="3001" maxValue="3012"/>
    </cacheField>
    <cacheField name="Date" numFmtId="0">
      <sharedItems/>
    </cacheField>
    <cacheField name="Customer" numFmtId="0">
      <sharedItems/>
    </cacheField>
    <cacheField name="City" numFmtId="0">
      <sharedItems count="3">
        <s v="Delhi"/>
        <s v="Mumbai"/>
        <s v="Bangalore"/>
      </sharedItems>
    </cacheField>
    <cacheField name="Category" numFmtId="0">
      <sharedItems count="3">
        <s v="Electronics"/>
        <s v="Clothing"/>
        <s v="Furniture"/>
      </sharedItems>
    </cacheField>
    <cacheField name="Product" numFmtId="0">
      <sharedItems count="12">
        <s v="Mobile"/>
        <s v="T-shirt"/>
        <s v="Laptop"/>
        <s v="Chair"/>
        <s v="Jeans"/>
        <s v="Headphones"/>
        <s v="Table"/>
        <s v="Tablet"/>
        <s v="Jacket"/>
        <s v="Smartwatch"/>
        <s v="Sofa"/>
        <s v="Dress"/>
      </sharedItems>
    </cacheField>
    <cacheField name="Sales" numFmtId="0">
      <sharedItems containsSemiMixedTypes="0" containsString="0" containsNumber="1" containsInteger="1" minValue="800" maxValue="60000"/>
    </cacheField>
    <cacheField name="Quantity" numFmtId="0">
      <sharedItems containsSemiMixedTypes="0" containsString="0" containsNumber="1" containsInteger="1" minValue="1" maxValue="3"/>
    </cacheField>
    <cacheField name="Discount" numFmtId="9">
      <sharedItems containsSemiMixedTypes="0" containsString="0" containsNumber="1" minValue="0.05" maxValue="0.2"/>
    </cacheField>
    <cacheField name="Profit" numFmtId="0">
      <sharedItems containsSemiMixedTypes="0" containsString="0" containsNumber="1" containsInteger="1" minValue="720" maxValue="55200"/>
    </cacheField>
    <cacheField name="Profit_Type" numFmtId="0">
      <sharedItems count="3">
        <s v="High"/>
        <s v="Low"/>
        <s v="Med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hnawaz idreeshi" refreshedDate="46118.350094675923" createdVersion="8" refreshedVersion="8" minRefreshableVersion="3" recordCount="12" xr:uid="{4722CE74-B50D-4D29-8996-296B64A27342}">
  <cacheSource type="worksheet">
    <worksheetSource name="Table1"/>
  </cacheSource>
  <cacheFields count="11">
    <cacheField name="Order ID" numFmtId="0">
      <sharedItems containsSemiMixedTypes="0" containsString="0" containsNumber="1" containsInteger="1" minValue="3001" maxValue="3012"/>
    </cacheField>
    <cacheField name="Date" numFmtId="0">
      <sharedItems/>
    </cacheField>
    <cacheField name="Customer" numFmtId="0">
      <sharedItems/>
    </cacheField>
    <cacheField name="City" numFmtId="0">
      <sharedItems count="3">
        <s v="Delhi"/>
        <s v="Mumbai"/>
        <s v="Bangalore"/>
      </sharedItems>
    </cacheField>
    <cacheField name="Category" numFmtId="0">
      <sharedItems count="3">
        <s v="Electronics"/>
        <s v="Clothing"/>
        <s v="Furniture"/>
      </sharedItems>
    </cacheField>
    <cacheField name="Product" numFmtId="0">
      <sharedItems count="12">
        <s v="Mobile"/>
        <s v="T-shirt"/>
        <s v="Laptop"/>
        <s v="Chair"/>
        <s v="Jeans"/>
        <s v="Headphones"/>
        <s v="Table"/>
        <s v="Tablet"/>
        <s v="Jacket"/>
        <s v="Smartwatch"/>
        <s v="Sofa"/>
        <s v="Dress"/>
      </sharedItems>
    </cacheField>
    <cacheField name="Sales" numFmtId="0">
      <sharedItems containsSemiMixedTypes="0" containsString="0" containsNumber="1" containsInteger="1" minValue="800" maxValue="60000"/>
    </cacheField>
    <cacheField name="Quantity" numFmtId="0">
      <sharedItems containsSemiMixedTypes="0" containsString="0" containsNumber="1" containsInteger="1" minValue="1" maxValue="3"/>
    </cacheField>
    <cacheField name="Discount" numFmtId="9">
      <sharedItems containsSemiMixedTypes="0" containsString="0" containsNumber="1" minValue="0.05" maxValue="0.2"/>
    </cacheField>
    <cacheField name="Profit" numFmtId="0">
      <sharedItems containsSemiMixedTypes="0" containsString="0" containsNumber="1" containsInteger="1" minValue="720" maxValue="55200"/>
    </cacheField>
    <cacheField name="Profit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3001"/>
    <s v="01-03-2026"/>
    <s v="Aakash"/>
    <x v="0"/>
    <x v="0"/>
    <x v="0"/>
    <n v="20000"/>
    <n v="1"/>
    <n v="0.05"/>
    <n v="19000"/>
    <x v="0"/>
  </r>
  <r>
    <n v="3002"/>
    <s v="02-03-2026"/>
    <s v="Neha"/>
    <x v="1"/>
    <x v="1"/>
    <x v="1"/>
    <n v="800"/>
    <n v="2"/>
    <n v="0.1"/>
    <n v="720"/>
    <x v="1"/>
  </r>
  <r>
    <n v="3003"/>
    <s v="03-03-2026"/>
    <s v="Rahul"/>
    <x v="2"/>
    <x v="0"/>
    <x v="2"/>
    <n v="60000"/>
    <n v="1"/>
    <n v="0.08"/>
    <n v="55200"/>
    <x v="0"/>
  </r>
  <r>
    <n v="3004"/>
    <s v="04-03-2026"/>
    <s v="Priya"/>
    <x v="0"/>
    <x v="2"/>
    <x v="3"/>
    <n v="4000"/>
    <n v="2"/>
    <n v="0.15"/>
    <n v="3400"/>
    <x v="1"/>
  </r>
  <r>
    <n v="3005"/>
    <s v="05-03-2026"/>
    <s v="Karan"/>
    <x v="1"/>
    <x v="1"/>
    <x v="4"/>
    <n v="2000"/>
    <n v="1"/>
    <n v="0.05"/>
    <n v="1900"/>
    <x v="1"/>
  </r>
  <r>
    <n v="3006"/>
    <s v="06-03-2026"/>
    <s v="Simran"/>
    <x v="2"/>
    <x v="0"/>
    <x v="5"/>
    <n v="3000"/>
    <n v="3"/>
    <n v="0.12"/>
    <n v="2640"/>
    <x v="1"/>
  </r>
  <r>
    <n v="3007"/>
    <s v="07-03-2026"/>
    <s v="Arjun"/>
    <x v="0"/>
    <x v="2"/>
    <x v="6"/>
    <n v="7000"/>
    <n v="1"/>
    <n v="0.2"/>
    <n v="5600"/>
    <x v="2"/>
  </r>
  <r>
    <n v="3008"/>
    <s v="08-03-2026"/>
    <s v="Riya"/>
    <x v="1"/>
    <x v="0"/>
    <x v="7"/>
    <n v="15000"/>
    <n v="1"/>
    <n v="7.0000000000000007E-2"/>
    <n v="13950"/>
    <x v="0"/>
  </r>
  <r>
    <n v="3009"/>
    <s v="09-03-2026"/>
    <s v="Vikas"/>
    <x v="2"/>
    <x v="1"/>
    <x v="8"/>
    <n v="3500"/>
    <n v="1"/>
    <n v="0.1"/>
    <n v="3150"/>
    <x v="1"/>
  </r>
  <r>
    <n v="3010"/>
    <s v="10-03-2026"/>
    <s v="Pooja"/>
    <x v="0"/>
    <x v="0"/>
    <x v="9"/>
    <n v="12000"/>
    <n v="1"/>
    <n v="0.05"/>
    <n v="11400"/>
    <x v="0"/>
  </r>
  <r>
    <n v="3011"/>
    <s v="11-03-2026"/>
    <s v="Manish"/>
    <x v="1"/>
    <x v="2"/>
    <x v="10"/>
    <n v="18000"/>
    <n v="1"/>
    <n v="0.18"/>
    <n v="14760"/>
    <x v="0"/>
  </r>
  <r>
    <n v="3012"/>
    <s v="12-03-2026"/>
    <s v="Sneha"/>
    <x v="2"/>
    <x v="1"/>
    <x v="11"/>
    <n v="2500"/>
    <n v="2"/>
    <n v="0.08"/>
    <n v="230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3001"/>
    <s v="01-03-2026"/>
    <s v="Aakash"/>
    <x v="0"/>
    <x v="0"/>
    <x v="0"/>
    <n v="20000"/>
    <n v="1"/>
    <n v="0.05"/>
    <n v="19000"/>
    <s v="High"/>
  </r>
  <r>
    <n v="3002"/>
    <s v="02-03-2026"/>
    <s v="Neha"/>
    <x v="1"/>
    <x v="1"/>
    <x v="1"/>
    <n v="800"/>
    <n v="2"/>
    <n v="0.1"/>
    <n v="720"/>
    <s v="Low"/>
  </r>
  <r>
    <n v="3003"/>
    <s v="03-03-2026"/>
    <s v="Rahul"/>
    <x v="2"/>
    <x v="0"/>
    <x v="2"/>
    <n v="60000"/>
    <n v="1"/>
    <n v="0.08"/>
    <n v="55200"/>
    <s v="High"/>
  </r>
  <r>
    <n v="3004"/>
    <s v="04-03-2026"/>
    <s v="Priya"/>
    <x v="0"/>
    <x v="2"/>
    <x v="3"/>
    <n v="4000"/>
    <n v="2"/>
    <n v="0.15"/>
    <n v="3400"/>
    <s v="Low"/>
  </r>
  <r>
    <n v="3005"/>
    <s v="05-03-2026"/>
    <s v="Karan"/>
    <x v="1"/>
    <x v="1"/>
    <x v="4"/>
    <n v="2000"/>
    <n v="1"/>
    <n v="0.05"/>
    <n v="1900"/>
    <s v="Low"/>
  </r>
  <r>
    <n v="3006"/>
    <s v="06-03-2026"/>
    <s v="Simran"/>
    <x v="2"/>
    <x v="0"/>
    <x v="5"/>
    <n v="3000"/>
    <n v="3"/>
    <n v="0.12"/>
    <n v="2640"/>
    <s v="Low"/>
  </r>
  <r>
    <n v="3007"/>
    <s v="07-03-2026"/>
    <s v="Arjun"/>
    <x v="0"/>
    <x v="2"/>
    <x v="6"/>
    <n v="7000"/>
    <n v="1"/>
    <n v="0.2"/>
    <n v="5600"/>
    <s v="Medium"/>
  </r>
  <r>
    <n v="3008"/>
    <s v="08-03-2026"/>
    <s v="Riya"/>
    <x v="1"/>
    <x v="0"/>
    <x v="7"/>
    <n v="15000"/>
    <n v="1"/>
    <n v="7.0000000000000007E-2"/>
    <n v="13950"/>
    <s v="High"/>
  </r>
  <r>
    <n v="3009"/>
    <s v="09-03-2026"/>
    <s v="Vikas"/>
    <x v="2"/>
    <x v="1"/>
    <x v="8"/>
    <n v="3500"/>
    <n v="1"/>
    <n v="0.1"/>
    <n v="3150"/>
    <s v="Low"/>
  </r>
  <r>
    <n v="3010"/>
    <s v="10-03-2026"/>
    <s v="Pooja"/>
    <x v="0"/>
    <x v="0"/>
    <x v="9"/>
    <n v="12000"/>
    <n v="1"/>
    <n v="0.05"/>
    <n v="11400"/>
    <s v="High"/>
  </r>
  <r>
    <n v="3011"/>
    <s v="11-03-2026"/>
    <s v="Manish"/>
    <x v="1"/>
    <x v="2"/>
    <x v="10"/>
    <n v="18000"/>
    <n v="1"/>
    <n v="0.18"/>
    <n v="14760"/>
    <s v="High"/>
  </r>
  <r>
    <n v="3012"/>
    <s v="12-03-2026"/>
    <s v="Sneha"/>
    <x v="2"/>
    <x v="1"/>
    <x v="11"/>
    <n v="2500"/>
    <n v="2"/>
    <n v="0.08"/>
    <n v="2300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F6E43-5354-40F8-B321-741B14BE6DF8}" name="PivotTable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1:B35" firstHeaderRow="1" firstDataRow="1" firstDataCol="1"/>
  <pivotFields count="11"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numFmtId="9" showAll="0"/>
    <pivotField showAll="0"/>
    <pivotField showAll="0"/>
  </pivotFields>
  <rowFields count="1">
    <field x="4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2EBBED-A05F-402C-A724-076EACD6C6B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9:B13" firstHeaderRow="1" firstDataRow="1" firstDataCol="1"/>
  <pivotFields count="11">
    <pivotField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9"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6B02B8-A9D2-41BC-868B-5724C4D1E86F}" name="PivotTable10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2:B56" firstHeaderRow="1" firstDataRow="1" firstDataCol="1"/>
  <pivotFields count="11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  <pivotField numFmtId="9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5C05A-24D9-4636-B029-61D99AE71344}" name="PivotTable9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3:B46" firstHeaderRow="1" firstDataRow="1" firstDataCol="1"/>
  <pivotFields count="11">
    <pivotField showAll="0"/>
    <pivotField showAll="0"/>
    <pivotField showAll="0"/>
    <pivotField showAll="0"/>
    <pivotField showAll="0"/>
    <pivotField axis="axisRow" showAll="0" sortType="descending">
      <items count="13">
        <item x="3"/>
        <item x="11"/>
        <item x="5"/>
        <item x="8"/>
        <item x="4"/>
        <item x="2"/>
        <item x="0"/>
        <item x="9"/>
        <item x="10"/>
        <item x="6"/>
        <item x="7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numFmtId="9" showAll="0"/>
    <pivotField showAll="0"/>
    <pivotField showAll="0"/>
  </pivotFields>
  <rowFields count="1">
    <field x="5"/>
  </rowFields>
  <rowItems count="13">
    <i>
      <x v="2"/>
    </i>
    <i>
      <x v="11"/>
    </i>
    <i>
      <x v="1"/>
    </i>
    <i>
      <x/>
    </i>
    <i>
      <x v="4"/>
    </i>
    <i>
      <x v="9"/>
    </i>
    <i>
      <x v="8"/>
    </i>
    <i>
      <x v="3"/>
    </i>
    <i>
      <x v="10"/>
    </i>
    <i>
      <x v="6"/>
    </i>
    <i>
      <x v="7"/>
    </i>
    <i>
      <x v="5"/>
    </i>
    <i t="grand">
      <x/>
    </i>
  </rowItems>
  <colItems count="1">
    <i/>
  </colItems>
  <dataFields count="1"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D90D1-4111-4F42-924D-DAEAE70A03BD}" name="PivotTable8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D27" firstHeaderRow="0" firstDataRow="1" firstDataCol="1"/>
  <pivotFields count="11">
    <pivotField showAll="0"/>
    <pivotField showAll="0"/>
    <pivotField showAll="0"/>
    <pivotField showAll="0"/>
    <pivotField showAll="0"/>
    <pivotField axis="axisRow" showAll="0" sortType="descending">
      <items count="13">
        <item x="3"/>
        <item x="11"/>
        <item x="5"/>
        <item x="8"/>
        <item x="4"/>
        <item x="2"/>
        <item x="0"/>
        <item x="9"/>
        <item x="10"/>
        <item x="6"/>
        <item x="7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numFmtId="9" showAll="0"/>
    <pivotField dataField="1" showAll="0"/>
    <pivotField showAll="0"/>
  </pivotFields>
  <rowFields count="1">
    <field x="5"/>
  </rowFields>
  <rowItems count="13">
    <i>
      <x v="9"/>
    </i>
    <i>
      <x v="8"/>
    </i>
    <i>
      <x/>
    </i>
    <i>
      <x v="2"/>
    </i>
    <i>
      <x v="11"/>
    </i>
    <i>
      <x v="3"/>
    </i>
    <i>
      <x v="1"/>
    </i>
    <i>
      <x v="5"/>
    </i>
    <i>
      <x v="10"/>
    </i>
    <i>
      <x v="7"/>
    </i>
    <i>
      <x v="4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Discount" fld="8" subtotal="average" baseField="5" baseItem="0" numFmtId="9"/>
    <dataField name="Sum of Sales" fld="6" baseField="0" baseItem="0"/>
    <dataField name="Sum of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67BAF-41CF-4A5A-AEDD-F258058F087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1"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13">
        <item x="3"/>
        <item x="11"/>
        <item x="5"/>
        <item x="8"/>
        <item x="4"/>
        <item x="2"/>
        <item x="0"/>
        <item x="9"/>
        <item x="10"/>
        <item x="6"/>
        <item x="7"/>
        <item x="1"/>
        <item t="default"/>
      </items>
    </pivotField>
    <pivotField dataField="1" showAll="0"/>
    <pivotField showAll="0"/>
    <pivotField numFmtId="9" showAll="0"/>
    <pivotField dataField="1" showAll="0"/>
    <pivotField showAll="0"/>
  </pivotFields>
  <rowFields count="1">
    <field x="4"/>
  </rowFields>
  <rowItems count="4"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A3A00F-0DD9-4182-9998-723A1D856DE7}" name="Table1" displayName="Table1" ref="A1:K13" totalsRowShown="0" headerRowDxfId="0" headerRowBorderDxfId="13" tableBorderDxfId="14" totalsRowBorderDxfId="12">
  <autoFilter ref="A1:K13" xr:uid="{B8A3A00F-0DD9-4182-9998-723A1D856DE7}"/>
  <tableColumns count="11">
    <tableColumn id="1" xr3:uid="{8FA094BA-DA3A-4BE8-B6C2-0F585E05C7AD}" name="Order ID" dataDxfId="11"/>
    <tableColumn id="2" xr3:uid="{B0EE12CC-FF63-4D87-86DA-D54C879156CF}" name="Date" dataDxfId="10"/>
    <tableColumn id="3" xr3:uid="{D526481D-0699-498B-814F-E336F752C7CE}" name="Customer" dataDxfId="9"/>
    <tableColumn id="4" xr3:uid="{64519D03-99D3-4AF1-A32F-151D114E9D80}" name="City" dataDxfId="8"/>
    <tableColumn id="5" xr3:uid="{56D3B910-AD73-4739-9DC9-1C9E0499CEB5}" name="Category" dataDxfId="7"/>
    <tableColumn id="6" xr3:uid="{3AA69DB9-A510-4015-939F-880A0988AB5F}" name="Product" dataDxfId="6"/>
    <tableColumn id="7" xr3:uid="{A9D7FE5B-6994-48B6-8C4E-A568E02FDD20}" name="Sales" dataDxfId="5"/>
    <tableColumn id="8" xr3:uid="{B6709DBD-D715-4F19-A3A4-A25D318049CB}" name="Quantity" dataDxfId="4"/>
    <tableColumn id="9" xr3:uid="{550C24D5-B9EC-4FBF-9D53-F4FD108BADFD}" name="Discount" dataDxfId="3" dataCellStyle="Percent"/>
    <tableColumn id="10" xr3:uid="{0AA03050-311D-4457-B002-D93DF7F1C875}" name="Profit" dataDxfId="2">
      <calculatedColumnFormula>G2-(G2*I2)</calculatedColumnFormula>
    </tableColumn>
    <tableColumn id="11" xr3:uid="{31C1B4DE-4E3D-456E-976A-D0C2619D2EEA}" name="Profit_Type" dataDxfId="1">
      <calculatedColumnFormula>IF(J2&gt;10000,"High",(IF(J2&gt;5000,"Medium","Low")))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ivotTable" Target="../pivotTables/pivot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BEFD8-7FC3-49EF-96E8-6706E1E3F07A}">
  <dimension ref="A2:I35"/>
  <sheetViews>
    <sheetView topLeftCell="A2" zoomScale="70" zoomScaleNormal="70" workbookViewId="0">
      <selection activeCell="B38" sqref="B38"/>
    </sheetView>
  </sheetViews>
  <sheetFormatPr defaultRowHeight="14.4" x14ac:dyDescent="0.3"/>
  <cols>
    <col min="1" max="2" width="15.6640625" customWidth="1"/>
    <col min="4" max="7" width="9.109375" customWidth="1"/>
    <col min="8" max="9" width="20" customWidth="1"/>
  </cols>
  <sheetData>
    <row r="2" spans="1:9" ht="15.6" customHeight="1" x14ac:dyDescent="0.3">
      <c r="H2" s="21" t="s">
        <v>76</v>
      </c>
      <c r="I2" s="21" t="s">
        <v>77</v>
      </c>
    </row>
    <row r="3" spans="1:9" ht="15.6" customHeight="1" x14ac:dyDescent="0.3">
      <c r="H3" s="22" t="s">
        <v>52</v>
      </c>
      <c r="I3" s="22">
        <f>SUM('Online Store Data'!$G$2:$G$13)</f>
        <v>147800</v>
      </c>
    </row>
    <row r="4" spans="1:9" ht="15.6" customHeight="1" x14ac:dyDescent="0.3">
      <c r="H4" s="22" t="s">
        <v>53</v>
      </c>
      <c r="I4" s="23">
        <f>AVERAGE('Online Store Data'!$I$2:$I$13)</f>
        <v>0.10250000000000002</v>
      </c>
    </row>
    <row r="5" spans="1:9" ht="15.6" customHeight="1" x14ac:dyDescent="0.3">
      <c r="H5" s="22" t="s">
        <v>75</v>
      </c>
      <c r="I5" s="22">
        <f>SUM(Table1[Profit])</f>
        <v>134020</v>
      </c>
    </row>
    <row r="8" spans="1:9" ht="6" customHeight="1" x14ac:dyDescent="0.3"/>
    <row r="9" spans="1:9" ht="16.2" customHeight="1" x14ac:dyDescent="0.3">
      <c r="A9" s="3" t="s">
        <v>58</v>
      </c>
      <c r="B9" t="s">
        <v>61</v>
      </c>
    </row>
    <row r="10" spans="1:9" ht="16.2" customHeight="1" x14ac:dyDescent="0.3">
      <c r="A10" s="4" t="s">
        <v>22</v>
      </c>
      <c r="B10" s="6">
        <v>63290</v>
      </c>
    </row>
    <row r="11" spans="1:9" ht="16.2" customHeight="1" x14ac:dyDescent="0.3">
      <c r="A11" s="4" t="s">
        <v>12</v>
      </c>
      <c r="B11" s="6">
        <v>39400</v>
      </c>
    </row>
    <row r="12" spans="1:9" ht="16.2" customHeight="1" x14ac:dyDescent="0.3">
      <c r="A12" s="4" t="s">
        <v>17</v>
      </c>
      <c r="B12" s="6">
        <v>31330</v>
      </c>
    </row>
    <row r="13" spans="1:9" ht="16.2" customHeight="1" x14ac:dyDescent="0.3">
      <c r="A13" s="4" t="s">
        <v>59</v>
      </c>
      <c r="B13" s="6">
        <v>134020</v>
      </c>
    </row>
    <row r="30" spans="1:2" ht="3.6" customHeight="1" x14ac:dyDescent="0.3"/>
    <row r="31" spans="1:2" ht="15" customHeight="1" x14ac:dyDescent="0.3">
      <c r="A31" s="3" t="s">
        <v>58</v>
      </c>
      <c r="B31" t="s">
        <v>60</v>
      </c>
    </row>
    <row r="32" spans="1:2" ht="15" customHeight="1" x14ac:dyDescent="0.3">
      <c r="A32" s="4" t="s">
        <v>13</v>
      </c>
      <c r="B32" s="6">
        <v>110000</v>
      </c>
    </row>
    <row r="33" spans="1:2" ht="15" customHeight="1" x14ac:dyDescent="0.3">
      <c r="A33" s="4" t="s">
        <v>26</v>
      </c>
      <c r="B33" s="6">
        <v>29000</v>
      </c>
    </row>
    <row r="34" spans="1:2" ht="15" customHeight="1" x14ac:dyDescent="0.3">
      <c r="A34" s="4" t="s">
        <v>18</v>
      </c>
      <c r="B34" s="6">
        <v>8800</v>
      </c>
    </row>
    <row r="35" spans="1:2" ht="15" customHeight="1" x14ac:dyDescent="0.3">
      <c r="A35" s="4" t="s">
        <v>59</v>
      </c>
      <c r="B35" s="6">
        <v>147800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7A19A-1B39-45B0-A0BA-63078E102AEC}">
  <dimension ref="A3:D59"/>
  <sheetViews>
    <sheetView topLeftCell="A33" workbookViewId="0">
      <selection activeCell="E60" sqref="E60"/>
    </sheetView>
  </sheetViews>
  <sheetFormatPr defaultRowHeight="14.4" x14ac:dyDescent="0.3"/>
  <cols>
    <col min="1" max="1" width="12.5546875" bestFit="1" customWidth="1"/>
    <col min="2" max="3" width="11.6640625" bestFit="1" customWidth="1"/>
    <col min="4" max="4" width="12.109375" bestFit="1" customWidth="1"/>
  </cols>
  <sheetData>
    <row r="3" spans="1:4" x14ac:dyDescent="0.3">
      <c r="A3" s="3" t="s">
        <v>58</v>
      </c>
      <c r="B3" t="s">
        <v>60</v>
      </c>
      <c r="C3" t="s">
        <v>61</v>
      </c>
    </row>
    <row r="4" spans="1:4" x14ac:dyDescent="0.3">
      <c r="A4" s="4" t="s">
        <v>13</v>
      </c>
      <c r="B4">
        <v>110000</v>
      </c>
      <c r="C4">
        <v>102190</v>
      </c>
    </row>
    <row r="5" spans="1:4" x14ac:dyDescent="0.3">
      <c r="A5" s="4" t="s">
        <v>26</v>
      </c>
      <c r="B5">
        <v>29000</v>
      </c>
      <c r="C5">
        <v>23760</v>
      </c>
    </row>
    <row r="6" spans="1:4" x14ac:dyDescent="0.3">
      <c r="A6" s="4" t="s">
        <v>18</v>
      </c>
      <c r="B6">
        <v>8800</v>
      </c>
      <c r="C6">
        <v>8070</v>
      </c>
    </row>
    <row r="7" spans="1:4" x14ac:dyDescent="0.3">
      <c r="A7" s="4" t="s">
        <v>59</v>
      </c>
      <c r="B7">
        <v>147800</v>
      </c>
      <c r="C7">
        <v>134020</v>
      </c>
    </row>
    <row r="10" spans="1:4" x14ac:dyDescent="0.3">
      <c r="A10" s="4" t="s">
        <v>64</v>
      </c>
      <c r="B10" t="s">
        <v>63</v>
      </c>
    </row>
    <row r="11" spans="1:4" x14ac:dyDescent="0.3">
      <c r="A11" s="4" t="s">
        <v>65</v>
      </c>
      <c r="B11" t="s">
        <v>66</v>
      </c>
    </row>
    <row r="14" spans="1:4" x14ac:dyDescent="0.3">
      <c r="A14" s="3" t="s">
        <v>58</v>
      </c>
      <c r="B14" t="s">
        <v>73</v>
      </c>
      <c r="C14" t="s">
        <v>60</v>
      </c>
      <c r="D14" t="s">
        <v>61</v>
      </c>
    </row>
    <row r="15" spans="1:4" x14ac:dyDescent="0.3">
      <c r="A15" s="4" t="s">
        <v>36</v>
      </c>
      <c r="B15" s="5">
        <v>0.2</v>
      </c>
      <c r="C15" s="6">
        <v>7000</v>
      </c>
      <c r="D15" s="6">
        <v>5600</v>
      </c>
    </row>
    <row r="16" spans="1:4" x14ac:dyDescent="0.3">
      <c r="A16" s="4" t="s">
        <v>48</v>
      </c>
      <c r="B16" s="5">
        <v>0.18</v>
      </c>
      <c r="C16" s="6">
        <v>18000</v>
      </c>
      <c r="D16" s="6">
        <v>14760</v>
      </c>
    </row>
    <row r="17" spans="1:4" x14ac:dyDescent="0.3">
      <c r="A17" s="4" t="s">
        <v>27</v>
      </c>
      <c r="B17" s="5">
        <v>0.15</v>
      </c>
      <c r="C17" s="6">
        <v>4000</v>
      </c>
      <c r="D17" s="6">
        <v>3400</v>
      </c>
    </row>
    <row r="18" spans="1:4" x14ac:dyDescent="0.3">
      <c r="A18" s="4" t="s">
        <v>33</v>
      </c>
      <c r="B18" s="5">
        <v>0.12</v>
      </c>
      <c r="C18" s="6">
        <v>3000</v>
      </c>
      <c r="D18" s="6">
        <v>2640</v>
      </c>
    </row>
    <row r="19" spans="1:4" x14ac:dyDescent="0.3">
      <c r="A19" s="4" t="s">
        <v>19</v>
      </c>
      <c r="B19" s="5">
        <v>0.1</v>
      </c>
      <c r="C19" s="6">
        <v>800</v>
      </c>
      <c r="D19" s="6">
        <v>720</v>
      </c>
    </row>
    <row r="20" spans="1:4" x14ac:dyDescent="0.3">
      <c r="A20" s="4" t="s">
        <v>42</v>
      </c>
      <c r="B20" s="5">
        <v>0.1</v>
      </c>
      <c r="C20" s="6">
        <v>3500</v>
      </c>
      <c r="D20" s="6">
        <v>3150</v>
      </c>
    </row>
    <row r="21" spans="1:4" x14ac:dyDescent="0.3">
      <c r="A21" s="4" t="s">
        <v>51</v>
      </c>
      <c r="B21" s="5">
        <v>0.08</v>
      </c>
      <c r="C21" s="6">
        <v>2500</v>
      </c>
      <c r="D21" s="6">
        <v>2300</v>
      </c>
    </row>
    <row r="22" spans="1:4" x14ac:dyDescent="0.3">
      <c r="A22" s="4" t="s">
        <v>23</v>
      </c>
      <c r="B22" s="5">
        <v>0.08</v>
      </c>
      <c r="C22" s="6">
        <v>60000</v>
      </c>
      <c r="D22" s="6">
        <v>55200</v>
      </c>
    </row>
    <row r="23" spans="1:4" x14ac:dyDescent="0.3">
      <c r="A23" s="4" t="s">
        <v>39</v>
      </c>
      <c r="B23" s="5">
        <v>7.0000000000000007E-2</v>
      </c>
      <c r="C23" s="6">
        <v>15000</v>
      </c>
      <c r="D23" s="6">
        <v>13950</v>
      </c>
    </row>
    <row r="24" spans="1:4" x14ac:dyDescent="0.3">
      <c r="A24" s="4" t="s">
        <v>45</v>
      </c>
      <c r="B24" s="5">
        <v>0.05</v>
      </c>
      <c r="C24" s="6">
        <v>12000</v>
      </c>
      <c r="D24" s="6">
        <v>11400</v>
      </c>
    </row>
    <row r="25" spans="1:4" x14ac:dyDescent="0.3">
      <c r="A25" s="4" t="s">
        <v>30</v>
      </c>
      <c r="B25" s="5">
        <v>0.05</v>
      </c>
      <c r="C25" s="6">
        <v>2000</v>
      </c>
      <c r="D25" s="6">
        <v>1900</v>
      </c>
    </row>
    <row r="26" spans="1:4" x14ac:dyDescent="0.3">
      <c r="A26" s="4" t="s">
        <v>14</v>
      </c>
      <c r="B26" s="5">
        <v>0.05</v>
      </c>
      <c r="C26" s="6">
        <v>20000</v>
      </c>
      <c r="D26" s="6">
        <v>19000</v>
      </c>
    </row>
    <row r="27" spans="1:4" x14ac:dyDescent="0.3">
      <c r="A27" s="4" t="s">
        <v>59</v>
      </c>
      <c r="B27" s="5">
        <v>0.10250000000000002</v>
      </c>
      <c r="C27" s="6">
        <v>147800</v>
      </c>
      <c r="D27" s="6">
        <v>134020</v>
      </c>
    </row>
    <row r="29" spans="1:4" x14ac:dyDescent="0.3">
      <c r="A29" s="4" t="s">
        <v>64</v>
      </c>
      <c r="B29" t="s">
        <v>70</v>
      </c>
    </row>
    <row r="30" spans="1:4" x14ac:dyDescent="0.3">
      <c r="A30" s="4" t="s">
        <v>69</v>
      </c>
      <c r="B30" t="s">
        <v>71</v>
      </c>
    </row>
    <row r="33" spans="1:2" x14ac:dyDescent="0.3">
      <c r="A33" s="3" t="s">
        <v>58</v>
      </c>
      <c r="B33" t="s">
        <v>62</v>
      </c>
    </row>
    <row r="34" spans="1:2" x14ac:dyDescent="0.3">
      <c r="A34" s="4" t="s">
        <v>33</v>
      </c>
      <c r="B34" s="6">
        <v>3</v>
      </c>
    </row>
    <row r="35" spans="1:2" x14ac:dyDescent="0.3">
      <c r="A35" s="4" t="s">
        <v>19</v>
      </c>
      <c r="B35" s="6">
        <v>2</v>
      </c>
    </row>
    <row r="36" spans="1:2" x14ac:dyDescent="0.3">
      <c r="A36" s="4" t="s">
        <v>51</v>
      </c>
      <c r="B36" s="6">
        <v>2</v>
      </c>
    </row>
    <row r="37" spans="1:2" x14ac:dyDescent="0.3">
      <c r="A37" s="4" t="s">
        <v>27</v>
      </c>
      <c r="B37" s="6">
        <v>2</v>
      </c>
    </row>
    <row r="38" spans="1:2" x14ac:dyDescent="0.3">
      <c r="A38" s="4" t="s">
        <v>30</v>
      </c>
      <c r="B38" s="6">
        <v>1</v>
      </c>
    </row>
    <row r="39" spans="1:2" x14ac:dyDescent="0.3">
      <c r="A39" s="4" t="s">
        <v>36</v>
      </c>
      <c r="B39" s="6">
        <v>1</v>
      </c>
    </row>
    <row r="40" spans="1:2" x14ac:dyDescent="0.3">
      <c r="A40" s="4" t="s">
        <v>48</v>
      </c>
      <c r="B40" s="6">
        <v>1</v>
      </c>
    </row>
    <row r="41" spans="1:2" x14ac:dyDescent="0.3">
      <c r="A41" s="4" t="s">
        <v>42</v>
      </c>
      <c r="B41" s="6">
        <v>1</v>
      </c>
    </row>
    <row r="42" spans="1:2" x14ac:dyDescent="0.3">
      <c r="A42" s="4" t="s">
        <v>39</v>
      </c>
      <c r="B42" s="6">
        <v>1</v>
      </c>
    </row>
    <row r="43" spans="1:2" x14ac:dyDescent="0.3">
      <c r="A43" s="4" t="s">
        <v>14</v>
      </c>
      <c r="B43" s="6">
        <v>1</v>
      </c>
    </row>
    <row r="44" spans="1:2" x14ac:dyDescent="0.3">
      <c r="A44" s="4" t="s">
        <v>45</v>
      </c>
      <c r="B44" s="6">
        <v>1</v>
      </c>
    </row>
    <row r="45" spans="1:2" x14ac:dyDescent="0.3">
      <c r="A45" s="4" t="s">
        <v>23</v>
      </c>
      <c r="B45" s="6">
        <v>1</v>
      </c>
    </row>
    <row r="46" spans="1:2" x14ac:dyDescent="0.3">
      <c r="A46" s="4" t="s">
        <v>59</v>
      </c>
      <c r="B46" s="6">
        <v>17</v>
      </c>
    </row>
    <row r="48" spans="1:2" x14ac:dyDescent="0.3">
      <c r="A48" s="4" t="s">
        <v>64</v>
      </c>
      <c r="B48" t="s">
        <v>72</v>
      </c>
    </row>
    <row r="49" spans="1:2" x14ac:dyDescent="0.3">
      <c r="A49" s="4" t="s">
        <v>65</v>
      </c>
      <c r="B49" t="s">
        <v>33</v>
      </c>
    </row>
    <row r="52" spans="1:2" x14ac:dyDescent="0.3">
      <c r="A52" s="3" t="s">
        <v>58</v>
      </c>
      <c r="B52" t="s">
        <v>60</v>
      </c>
    </row>
    <row r="53" spans="1:2" x14ac:dyDescent="0.3">
      <c r="A53" s="4" t="s">
        <v>22</v>
      </c>
      <c r="B53" s="6">
        <v>69000</v>
      </c>
    </row>
    <row r="54" spans="1:2" x14ac:dyDescent="0.3">
      <c r="A54" s="4" t="s">
        <v>12</v>
      </c>
      <c r="B54" s="6">
        <v>43000</v>
      </c>
    </row>
    <row r="55" spans="1:2" x14ac:dyDescent="0.3">
      <c r="A55" s="4" t="s">
        <v>17</v>
      </c>
      <c r="B55" s="6">
        <v>35800</v>
      </c>
    </row>
    <row r="56" spans="1:2" x14ac:dyDescent="0.3">
      <c r="A56" s="4" t="s">
        <v>59</v>
      </c>
      <c r="B56" s="6">
        <v>147800</v>
      </c>
    </row>
    <row r="58" spans="1:2" x14ac:dyDescent="0.3">
      <c r="A58" s="4" t="s">
        <v>64</v>
      </c>
      <c r="B58" t="s">
        <v>68</v>
      </c>
    </row>
    <row r="59" spans="1:2" x14ac:dyDescent="0.3">
      <c r="A59" s="4" t="s">
        <v>67</v>
      </c>
      <c r="B59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zoomScale="110" zoomScaleNormal="110" workbookViewId="0">
      <pane ySplit="1" topLeftCell="A2" activePane="bottomLeft" state="frozen"/>
      <selection pane="bottomLeft" activeCell="B6" sqref="A2:K13"/>
    </sheetView>
  </sheetViews>
  <sheetFormatPr defaultRowHeight="14.4" x14ac:dyDescent="0.3"/>
  <cols>
    <col min="1" max="1" width="9.88671875" style="9" customWidth="1"/>
    <col min="2" max="2" width="10.33203125" style="9" bestFit="1" customWidth="1"/>
    <col min="3" max="3" width="10.77734375" style="9" customWidth="1"/>
    <col min="4" max="4" width="9.21875" style="9" bestFit="1" customWidth="1"/>
    <col min="5" max="5" width="10.109375" style="9" customWidth="1"/>
    <col min="6" max="6" width="11.109375" style="9" bestFit="1" customWidth="1"/>
    <col min="7" max="7" width="6.88671875" style="9" customWidth="1"/>
    <col min="8" max="8" width="10.109375" style="9" customWidth="1"/>
    <col min="9" max="9" width="10.109375" style="10" customWidth="1"/>
    <col min="10" max="10" width="7.33203125" style="9" customWidth="1"/>
    <col min="11" max="11" width="12.44140625" style="9" customWidth="1"/>
    <col min="12" max="16384" width="8.88671875" style="9"/>
  </cols>
  <sheetData>
    <row r="1" spans="1:11" x14ac:dyDescent="0.3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6" t="s">
        <v>8</v>
      </c>
      <c r="J1" s="15" t="s">
        <v>9</v>
      </c>
      <c r="K1" s="17" t="s">
        <v>57</v>
      </c>
    </row>
    <row r="2" spans="1:11" x14ac:dyDescent="0.3">
      <c r="A2" s="13">
        <v>3001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20000</v>
      </c>
      <c r="H2" s="1">
        <v>1</v>
      </c>
      <c r="I2" s="2">
        <v>0.05</v>
      </c>
      <c r="J2" s="1">
        <f>G2-(G2*I2)</f>
        <v>19000</v>
      </c>
      <c r="K2" s="11" t="str">
        <f>IF(J2&gt;10000,"High",(IF(J2&gt;5000,"Medium","Low")))</f>
        <v>High</v>
      </c>
    </row>
    <row r="3" spans="1:11" x14ac:dyDescent="0.3">
      <c r="A3" s="13">
        <v>3002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800</v>
      </c>
      <c r="H3" s="1">
        <v>2</v>
      </c>
      <c r="I3" s="2">
        <v>0.1</v>
      </c>
      <c r="J3" s="1">
        <f t="shared" ref="J3:J13" si="0">G3-(G3*I3)</f>
        <v>720</v>
      </c>
      <c r="K3" s="11" t="str">
        <f t="shared" ref="K3:K13" si="1">IF(J3&gt;10000,"High",(IF(J3&gt;5000,"Medium","Low")))</f>
        <v>Low</v>
      </c>
    </row>
    <row r="4" spans="1:11" x14ac:dyDescent="0.3">
      <c r="A4" s="13">
        <v>3003</v>
      </c>
      <c r="B4" s="1" t="s">
        <v>20</v>
      </c>
      <c r="C4" s="1" t="s">
        <v>21</v>
      </c>
      <c r="D4" s="1" t="s">
        <v>22</v>
      </c>
      <c r="E4" s="1" t="s">
        <v>13</v>
      </c>
      <c r="F4" s="1" t="s">
        <v>23</v>
      </c>
      <c r="G4" s="1">
        <v>60000</v>
      </c>
      <c r="H4" s="1">
        <v>1</v>
      </c>
      <c r="I4" s="2">
        <v>0.08</v>
      </c>
      <c r="J4" s="1">
        <f t="shared" si="0"/>
        <v>55200</v>
      </c>
      <c r="K4" s="11" t="str">
        <f t="shared" si="1"/>
        <v>High</v>
      </c>
    </row>
    <row r="5" spans="1:11" x14ac:dyDescent="0.3">
      <c r="A5" s="13">
        <v>3004</v>
      </c>
      <c r="B5" s="1" t="s">
        <v>24</v>
      </c>
      <c r="C5" s="1" t="s">
        <v>25</v>
      </c>
      <c r="D5" s="1" t="s">
        <v>12</v>
      </c>
      <c r="E5" s="1" t="s">
        <v>26</v>
      </c>
      <c r="F5" s="1" t="s">
        <v>27</v>
      </c>
      <c r="G5" s="1">
        <v>4000</v>
      </c>
      <c r="H5" s="1">
        <v>2</v>
      </c>
      <c r="I5" s="2">
        <v>0.15</v>
      </c>
      <c r="J5" s="1">
        <f t="shared" si="0"/>
        <v>3400</v>
      </c>
      <c r="K5" s="11" t="str">
        <f t="shared" si="1"/>
        <v>Low</v>
      </c>
    </row>
    <row r="6" spans="1:11" x14ac:dyDescent="0.3">
      <c r="A6" s="13">
        <v>3005</v>
      </c>
      <c r="B6" s="1" t="s">
        <v>28</v>
      </c>
      <c r="C6" s="1" t="s">
        <v>29</v>
      </c>
      <c r="D6" s="1" t="s">
        <v>17</v>
      </c>
      <c r="E6" s="1" t="s">
        <v>18</v>
      </c>
      <c r="F6" s="1" t="s">
        <v>30</v>
      </c>
      <c r="G6" s="1">
        <v>2000</v>
      </c>
      <c r="H6" s="1">
        <v>1</v>
      </c>
      <c r="I6" s="2">
        <v>0.05</v>
      </c>
      <c r="J6" s="1">
        <f t="shared" si="0"/>
        <v>1900</v>
      </c>
      <c r="K6" s="11" t="str">
        <f t="shared" si="1"/>
        <v>Low</v>
      </c>
    </row>
    <row r="7" spans="1:11" x14ac:dyDescent="0.3">
      <c r="A7" s="13">
        <v>3006</v>
      </c>
      <c r="B7" s="1" t="s">
        <v>31</v>
      </c>
      <c r="C7" s="1" t="s">
        <v>32</v>
      </c>
      <c r="D7" s="1" t="s">
        <v>22</v>
      </c>
      <c r="E7" s="1" t="s">
        <v>13</v>
      </c>
      <c r="F7" s="1" t="s">
        <v>33</v>
      </c>
      <c r="G7" s="1">
        <v>3000</v>
      </c>
      <c r="H7" s="1">
        <v>3</v>
      </c>
      <c r="I7" s="2">
        <v>0.12</v>
      </c>
      <c r="J7" s="1">
        <f t="shared" si="0"/>
        <v>2640</v>
      </c>
      <c r="K7" s="11" t="str">
        <f t="shared" si="1"/>
        <v>Low</v>
      </c>
    </row>
    <row r="8" spans="1:11" x14ac:dyDescent="0.3">
      <c r="A8" s="13">
        <v>3007</v>
      </c>
      <c r="B8" s="1" t="s">
        <v>34</v>
      </c>
      <c r="C8" s="1" t="s">
        <v>35</v>
      </c>
      <c r="D8" s="1" t="s">
        <v>12</v>
      </c>
      <c r="E8" s="1" t="s">
        <v>26</v>
      </c>
      <c r="F8" s="1" t="s">
        <v>36</v>
      </c>
      <c r="G8" s="1">
        <v>7000</v>
      </c>
      <c r="H8" s="1">
        <v>1</v>
      </c>
      <c r="I8" s="2">
        <v>0.2</v>
      </c>
      <c r="J8" s="1">
        <f t="shared" si="0"/>
        <v>5600</v>
      </c>
      <c r="K8" s="11" t="str">
        <f t="shared" si="1"/>
        <v>Medium</v>
      </c>
    </row>
    <row r="9" spans="1:11" x14ac:dyDescent="0.3">
      <c r="A9" s="13">
        <v>3008</v>
      </c>
      <c r="B9" s="1" t="s">
        <v>37</v>
      </c>
      <c r="C9" s="1" t="s">
        <v>38</v>
      </c>
      <c r="D9" s="1" t="s">
        <v>17</v>
      </c>
      <c r="E9" s="1" t="s">
        <v>13</v>
      </c>
      <c r="F9" s="1" t="s">
        <v>39</v>
      </c>
      <c r="G9" s="1">
        <v>15000</v>
      </c>
      <c r="H9" s="1">
        <v>1</v>
      </c>
      <c r="I9" s="2">
        <v>7.0000000000000007E-2</v>
      </c>
      <c r="J9" s="1">
        <f t="shared" si="0"/>
        <v>13950</v>
      </c>
      <c r="K9" s="11" t="str">
        <f t="shared" si="1"/>
        <v>High</v>
      </c>
    </row>
    <row r="10" spans="1:11" x14ac:dyDescent="0.3">
      <c r="A10" s="13">
        <v>3009</v>
      </c>
      <c r="B10" s="1" t="s">
        <v>40</v>
      </c>
      <c r="C10" s="1" t="s">
        <v>41</v>
      </c>
      <c r="D10" s="1" t="s">
        <v>22</v>
      </c>
      <c r="E10" s="1" t="s">
        <v>18</v>
      </c>
      <c r="F10" s="1" t="s">
        <v>42</v>
      </c>
      <c r="G10" s="1">
        <v>3500</v>
      </c>
      <c r="H10" s="1">
        <v>1</v>
      </c>
      <c r="I10" s="2">
        <v>0.1</v>
      </c>
      <c r="J10" s="1">
        <f t="shared" si="0"/>
        <v>3150</v>
      </c>
      <c r="K10" s="11" t="str">
        <f t="shared" si="1"/>
        <v>Low</v>
      </c>
    </row>
    <row r="11" spans="1:11" x14ac:dyDescent="0.3">
      <c r="A11" s="13">
        <v>3010</v>
      </c>
      <c r="B11" s="1" t="s">
        <v>43</v>
      </c>
      <c r="C11" s="1" t="s">
        <v>44</v>
      </c>
      <c r="D11" s="1" t="s">
        <v>12</v>
      </c>
      <c r="E11" s="1" t="s">
        <v>13</v>
      </c>
      <c r="F11" s="1" t="s">
        <v>45</v>
      </c>
      <c r="G11" s="1">
        <v>12000</v>
      </c>
      <c r="H11" s="1">
        <v>1</v>
      </c>
      <c r="I11" s="2">
        <v>0.05</v>
      </c>
      <c r="J11" s="1">
        <f t="shared" si="0"/>
        <v>11400</v>
      </c>
      <c r="K11" s="11" t="str">
        <f t="shared" si="1"/>
        <v>High</v>
      </c>
    </row>
    <row r="12" spans="1:11" x14ac:dyDescent="0.3">
      <c r="A12" s="13">
        <v>3011</v>
      </c>
      <c r="B12" s="1" t="s">
        <v>46</v>
      </c>
      <c r="C12" s="1" t="s">
        <v>47</v>
      </c>
      <c r="D12" s="1" t="s">
        <v>17</v>
      </c>
      <c r="E12" s="1" t="s">
        <v>26</v>
      </c>
      <c r="F12" s="1" t="s">
        <v>48</v>
      </c>
      <c r="G12" s="1">
        <v>18000</v>
      </c>
      <c r="H12" s="1">
        <v>1</v>
      </c>
      <c r="I12" s="2">
        <v>0.18</v>
      </c>
      <c r="J12" s="1">
        <f t="shared" si="0"/>
        <v>14760</v>
      </c>
      <c r="K12" s="11" t="str">
        <f t="shared" si="1"/>
        <v>High</v>
      </c>
    </row>
    <row r="13" spans="1:11" x14ac:dyDescent="0.3">
      <c r="A13" s="18">
        <v>3012</v>
      </c>
      <c r="B13" s="7" t="s">
        <v>49</v>
      </c>
      <c r="C13" s="7" t="s">
        <v>50</v>
      </c>
      <c r="D13" s="7" t="s">
        <v>22</v>
      </c>
      <c r="E13" s="7" t="s">
        <v>18</v>
      </c>
      <c r="F13" s="7" t="s">
        <v>51</v>
      </c>
      <c r="G13" s="7">
        <v>2500</v>
      </c>
      <c r="H13" s="7">
        <v>2</v>
      </c>
      <c r="I13" s="8">
        <v>0.08</v>
      </c>
      <c r="J13" s="7">
        <f t="shared" si="0"/>
        <v>2300</v>
      </c>
      <c r="K13" s="12" t="str">
        <f t="shared" si="1"/>
        <v>Low</v>
      </c>
    </row>
  </sheetData>
  <conditionalFormatting sqref="K2:K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2789C-97BB-42AA-AB87-E33631F56BB3}">
  <dimension ref="A1:B7"/>
  <sheetViews>
    <sheetView tabSelected="1" zoomScale="110" zoomScaleNormal="110" workbookViewId="0">
      <selection activeCell="G14" sqref="G14"/>
    </sheetView>
  </sheetViews>
  <sheetFormatPr defaultRowHeight="14.4" x14ac:dyDescent="0.3"/>
  <cols>
    <col min="1" max="1" width="17.88671875" bestFit="1" customWidth="1"/>
  </cols>
  <sheetData>
    <row r="1" spans="1:2" ht="15" customHeight="1" x14ac:dyDescent="0.3">
      <c r="A1" s="24" t="s">
        <v>77</v>
      </c>
      <c r="B1" s="24" t="s">
        <v>74</v>
      </c>
    </row>
    <row r="2" spans="1:2" x14ac:dyDescent="0.3">
      <c r="A2" s="19" t="s">
        <v>52</v>
      </c>
      <c r="B2" s="19">
        <f>SUM('Online Store Data'!$G$2:$G$13)</f>
        <v>147800</v>
      </c>
    </row>
    <row r="3" spans="1:2" x14ac:dyDescent="0.3">
      <c r="A3" s="19" t="s">
        <v>53</v>
      </c>
      <c r="B3" s="20">
        <f>AVERAGE('Online Store Data'!$I$2:$I$13)</f>
        <v>0.10250000000000002</v>
      </c>
    </row>
    <row r="4" spans="1:2" x14ac:dyDescent="0.3">
      <c r="A4" s="19" t="s">
        <v>78</v>
      </c>
      <c r="B4" s="19">
        <f>SUM(Table1[Profit])</f>
        <v>134020</v>
      </c>
    </row>
    <row r="5" spans="1:2" x14ac:dyDescent="0.3">
      <c r="A5" s="19" t="s">
        <v>55</v>
      </c>
      <c r="B5" s="19">
        <f>MAX('Online Store Data'!$G$2:$G$13)</f>
        <v>60000</v>
      </c>
    </row>
    <row r="6" spans="1:2" x14ac:dyDescent="0.3">
      <c r="A6" s="19" t="s">
        <v>56</v>
      </c>
      <c r="B6" s="19">
        <f>MIN('Online Store Data'!$G$2:$G$13)</f>
        <v>800</v>
      </c>
    </row>
    <row r="7" spans="1:2" x14ac:dyDescent="0.3">
      <c r="A7" s="19" t="s">
        <v>54</v>
      </c>
      <c r="B7" s="19">
        <f>SUM('Online Store Data'!$H$2:$H$13)</f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Bar chart → City vs Profit</vt:lpstr>
      <vt:lpstr>Data Analyst Thinking Question</vt:lpstr>
      <vt:lpstr>Online Store Data</vt:lpstr>
      <vt:lpstr>Analysis aggregate 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SHAHNAWAZ KHAN</cp:lastModifiedBy>
  <dcterms:created xsi:type="dcterms:W3CDTF">2026-04-05T12:48:40Z</dcterms:created>
  <dcterms:modified xsi:type="dcterms:W3CDTF">2026-04-06T03:39:51Z</dcterms:modified>
</cp:coreProperties>
</file>